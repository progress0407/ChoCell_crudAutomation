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rogr\OneDrive\바탕 화면\임시\"/>
    </mc:Choice>
  </mc:AlternateContent>
  <bookViews>
    <workbookView xWindow="0" yWindow="0" windowWidth="22260" windowHeight="9108" activeTab="8"/>
  </bookViews>
  <sheets>
    <sheet name="Sheet1" sheetId="1" r:id="rId1"/>
    <sheet name="Sheet2" sheetId="2" r:id="rId2"/>
    <sheet name="Sheet2 (5)" sheetId="7" r:id="rId3"/>
    <sheet name="Sheet2 (3)" sheetId="5" r:id="rId4"/>
    <sheet name="Sheet2 (6)" sheetId="8" r:id="rId5"/>
    <sheet name="Sheet2 (4)" sheetId="6" r:id="rId6"/>
    <sheet name="Sheet2 (2)" sheetId="4" r:id="rId7"/>
    <sheet name="Sheet3" sheetId="3" r:id="rId8"/>
    <sheet name="Sheet7" sheetId="10" r:id="rId9"/>
    <sheet name="Sheet2 (7)" sheetId="9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0" l="1"/>
  <c r="H4" i="10"/>
  <c r="H3" i="10"/>
  <c r="H2" i="10"/>
  <c r="M3" i="2"/>
  <c r="M4" i="2"/>
  <c r="N10" i="9"/>
  <c r="N26" i="9"/>
  <c r="N11" i="9"/>
  <c r="N12" i="9"/>
  <c r="N14" i="9"/>
  <c r="N15" i="9"/>
  <c r="N16" i="9"/>
  <c r="N17" i="9"/>
  <c r="N19" i="9"/>
  <c r="N4" i="9"/>
  <c r="N5" i="9"/>
  <c r="N21" i="9"/>
  <c r="N7" i="9"/>
  <c r="N24" i="9"/>
  <c r="N25" i="9"/>
  <c r="N13" i="9"/>
  <c r="N20" i="9"/>
  <c r="N6" i="9"/>
  <c r="N8" i="9"/>
  <c r="N18" i="9"/>
  <c r="N22" i="9"/>
  <c r="N23" i="9"/>
  <c r="N9" i="9"/>
  <c r="N3" i="9"/>
  <c r="C16" i="10"/>
  <c r="C15" i="10"/>
  <c r="C14" i="10"/>
  <c r="C13" i="10"/>
  <c r="C12" i="10"/>
  <c r="C11" i="10"/>
  <c r="C10" i="10"/>
  <c r="C9" i="10"/>
  <c r="E2" i="10"/>
  <c r="D2" i="10"/>
  <c r="F2" i="10"/>
  <c r="B2" i="1" l="1"/>
  <c r="B3" i="1"/>
  <c r="B4" i="1"/>
  <c r="B5" i="1"/>
  <c r="B6" i="1"/>
  <c r="B7" i="1"/>
  <c r="B1" i="1"/>
  <c r="A9" i="1"/>
  <c r="A10" i="1" s="1"/>
  <c r="A8" i="1"/>
  <c r="M26" i="9"/>
  <c r="L8" i="9"/>
  <c r="K6" i="8"/>
  <c r="M5" i="8"/>
  <c r="K26" i="9"/>
  <c r="L5" i="8"/>
  <c r="K5" i="8"/>
  <c r="K8" i="8"/>
  <c r="K7" i="8"/>
  <c r="L26" i="9"/>
  <c r="K8" i="9"/>
  <c r="M3" i="9"/>
  <c r="M23" i="9"/>
  <c r="L3" i="9"/>
  <c r="L17" i="9"/>
  <c r="K17" i="9"/>
  <c r="L7" i="8"/>
  <c r="L6" i="8"/>
  <c r="L23" i="9"/>
  <c r="K3" i="9"/>
  <c r="M4" i="8"/>
  <c r="K23" i="9"/>
  <c r="M9" i="8"/>
  <c r="L4" i="8"/>
  <c r="L9" i="8"/>
  <c r="M7" i="8"/>
  <c r="M19" i="9"/>
  <c r="K4" i="8"/>
  <c r="L19" i="9"/>
  <c r="K9" i="8"/>
  <c r="M3" i="8"/>
  <c r="K19" i="9"/>
  <c r="M8" i="8"/>
  <c r="L3" i="8"/>
  <c r="L8" i="8"/>
  <c r="K3" i="8"/>
  <c r="M12" i="9"/>
  <c r="M6" i="8"/>
  <c r="M17" i="9"/>
  <c r="L12" i="9"/>
  <c r="K12" i="9"/>
  <c r="M8" i="9"/>
  <c r="M9" i="7"/>
  <c r="L4" i="7"/>
  <c r="L9" i="7"/>
  <c r="K4" i="7"/>
  <c r="K5" i="7"/>
  <c r="K9" i="7"/>
  <c r="M3" i="7"/>
  <c r="M8" i="7"/>
  <c r="L3" i="7"/>
  <c r="M4" i="7"/>
  <c r="L8" i="7"/>
  <c r="K3" i="7"/>
  <c r="K8" i="7"/>
  <c r="M7" i="7"/>
  <c r="L6" i="7"/>
  <c r="L7" i="7"/>
  <c r="M6" i="7"/>
  <c r="M5" i="7"/>
  <c r="K7" i="7"/>
  <c r="K6" i="7"/>
  <c r="L5" i="7"/>
  <c r="L5" i="2"/>
  <c r="K21" i="6"/>
  <c r="K20" i="6"/>
  <c r="L9" i="2"/>
  <c r="K23" i="6"/>
  <c r="K13" i="6"/>
  <c r="L4" i="2"/>
  <c r="K24" i="6"/>
  <c r="K15" i="6"/>
  <c r="L7" i="2"/>
  <c r="K9" i="6"/>
  <c r="K16" i="6"/>
  <c r="L6" i="2"/>
  <c r="K6" i="6"/>
  <c r="K18" i="6"/>
  <c r="L8" i="2"/>
  <c r="K22" i="6"/>
  <c r="K14" i="6"/>
  <c r="M6" i="2"/>
  <c r="K27" i="6"/>
  <c r="K28" i="6"/>
  <c r="L3" i="2"/>
  <c r="K7" i="6"/>
  <c r="K17" i="6"/>
  <c r="K8" i="2"/>
  <c r="K26" i="6"/>
  <c r="K12" i="6"/>
  <c r="K4" i="6"/>
  <c r="K11" i="6"/>
  <c r="K4" i="2"/>
  <c r="K8" i="6"/>
  <c r="K19" i="6"/>
  <c r="K25" i="6"/>
  <c r="K10" i="6"/>
  <c r="M8" i="2"/>
  <c r="K7" i="2"/>
  <c r="M5" i="2"/>
  <c r="K9" i="2"/>
  <c r="M9" i="2"/>
  <c r="K3" i="6"/>
  <c r="M7" i="2"/>
  <c r="K5" i="6"/>
  <c r="K6" i="2"/>
  <c r="K3" i="2"/>
  <c r="K5" i="2"/>
</calcChain>
</file>

<file path=xl/sharedStrings.xml><?xml version="1.0" encoding="utf-8"?>
<sst xmlns="http://schemas.openxmlformats.org/spreadsheetml/2006/main" count="381" uniqueCount="84">
  <si>
    <t>c</t>
    <phoneticPr fontId="1" type="noConversion"/>
  </si>
  <si>
    <t>cr</t>
    <phoneticPr fontId="1" type="noConversion"/>
  </si>
  <si>
    <t>u</t>
    <phoneticPr fontId="1" type="noConversion"/>
  </si>
  <si>
    <t>ud</t>
    <phoneticPr fontId="1" type="noConversion"/>
  </si>
  <si>
    <t>crud</t>
    <phoneticPr fontId="1" type="noConversion"/>
  </si>
  <si>
    <t>프로그램명</t>
    <phoneticPr fontId="1" type="noConversion"/>
  </si>
  <si>
    <t>TABLE01</t>
    <phoneticPr fontId="1" type="noConversion"/>
  </si>
  <si>
    <t>TABLE02</t>
  </si>
  <si>
    <t>TABLE03</t>
  </si>
  <si>
    <t>TABLE04</t>
  </si>
  <si>
    <t>TABLE05</t>
  </si>
  <si>
    <t>TABLE06</t>
  </si>
  <si>
    <t>TABLE07</t>
  </si>
  <si>
    <t>TABLE08</t>
  </si>
  <si>
    <t>TABLE09</t>
  </si>
  <si>
    <t>브로큰 발렌타인</t>
    <phoneticPr fontId="1" type="noConversion"/>
  </si>
  <si>
    <t xml:space="preserve">잔나비 </t>
    <phoneticPr fontId="1" type="noConversion"/>
  </si>
  <si>
    <t>김필</t>
    <phoneticPr fontId="1" type="noConversion"/>
  </si>
  <si>
    <t xml:space="preserve">Boys </t>
    <phoneticPr fontId="1" type="noConversion"/>
  </si>
  <si>
    <t>김준수</t>
    <phoneticPr fontId="1" type="noConversion"/>
  </si>
  <si>
    <t>조유진</t>
    <phoneticPr fontId="1" type="noConversion"/>
  </si>
  <si>
    <t>서태지</t>
    <phoneticPr fontId="1" type="noConversion"/>
  </si>
  <si>
    <t>C</t>
    <phoneticPr fontId="1" type="noConversion"/>
  </si>
  <si>
    <t>CR</t>
    <phoneticPr fontId="1" type="noConversion"/>
  </si>
  <si>
    <t>CUD</t>
    <phoneticPr fontId="1" type="noConversion"/>
  </si>
  <si>
    <t>C</t>
    <phoneticPr fontId="1" type="noConversion"/>
  </si>
  <si>
    <t>R</t>
    <phoneticPr fontId="1" type="noConversion"/>
  </si>
  <si>
    <t>CRUD</t>
    <phoneticPr fontId="1" type="noConversion"/>
  </si>
  <si>
    <t>U</t>
    <phoneticPr fontId="1" type="noConversion"/>
  </si>
  <si>
    <t>D</t>
    <phoneticPr fontId="1" type="noConversion"/>
  </si>
  <si>
    <t>R</t>
    <phoneticPr fontId="1" type="noConversion"/>
  </si>
  <si>
    <t>RU</t>
    <phoneticPr fontId="1" type="noConversion"/>
  </si>
  <si>
    <t>C</t>
    <phoneticPr fontId="1" type="noConversion"/>
  </si>
  <si>
    <t>D</t>
    <phoneticPr fontId="1" type="noConversion"/>
  </si>
  <si>
    <t>RD</t>
    <phoneticPr fontId="1" type="noConversion"/>
  </si>
  <si>
    <t>CU</t>
    <phoneticPr fontId="1" type="noConversion"/>
  </si>
  <si>
    <t>R</t>
    <phoneticPr fontId="1" type="noConversion"/>
  </si>
  <si>
    <t>R</t>
    <phoneticPr fontId="1" type="noConversion"/>
  </si>
  <si>
    <t>RET</t>
    <phoneticPr fontId="1" type="noConversion"/>
  </si>
  <si>
    <t>DET</t>
    <phoneticPr fontId="1" type="noConversion"/>
  </si>
  <si>
    <t>타입</t>
    <phoneticPr fontId="1" type="noConversion"/>
  </si>
  <si>
    <t>progNa</t>
    <phoneticPr fontId="1" type="noConversion"/>
  </si>
  <si>
    <t>progNa</t>
    <phoneticPr fontId="1" type="noConversion"/>
  </si>
  <si>
    <t>Boys 등록</t>
  </si>
  <si>
    <t>브로큰 발렌타인 등록</t>
  </si>
  <si>
    <t>브로큰 발렌타인 조회</t>
  </si>
  <si>
    <t>브로큰 발렌타인 수정</t>
  </si>
  <si>
    <t>브로큰 발렌타인 삭제</t>
  </si>
  <si>
    <t>잔나비  등록</t>
  </si>
  <si>
    <t>잔나비  조회</t>
  </si>
  <si>
    <t>잔나비  수정</t>
  </si>
  <si>
    <t>김필 등록</t>
  </si>
  <si>
    <t>김필 조회</t>
  </si>
  <si>
    <t>김필 수정</t>
  </si>
  <si>
    <t>김필 삭제</t>
  </si>
  <si>
    <t>Boys  등록</t>
  </si>
  <si>
    <t>김준수 등록</t>
  </si>
  <si>
    <t>김준수 조회</t>
  </si>
  <si>
    <t>김준수 수정</t>
  </si>
  <si>
    <t>김준수 삭제</t>
  </si>
  <si>
    <t>조유진 조회</t>
  </si>
  <si>
    <t>조유진 삭제</t>
  </si>
  <si>
    <t>서태지 조회</t>
  </si>
  <si>
    <t>서태지 삭제</t>
  </si>
  <si>
    <t>E I LF</t>
    <phoneticPr fontId="1" type="noConversion"/>
  </si>
  <si>
    <t>progNa</t>
    <phoneticPr fontId="1" type="noConversion"/>
  </si>
  <si>
    <t>progNa</t>
    <phoneticPr fontId="1" type="noConversion"/>
  </si>
  <si>
    <t>getTotTable</t>
    <phoneticPr fontId="1" type="noConversion"/>
  </si>
  <si>
    <t>getColSum</t>
    <phoneticPr fontId="1" type="noConversion"/>
  </si>
  <si>
    <t>withColor?</t>
    <phoneticPr fontId="1" type="noConversion"/>
  </si>
  <si>
    <t>A</t>
    <phoneticPr fontId="1" type="noConversion"/>
  </si>
  <si>
    <t>Z</t>
    <phoneticPr fontId="1" type="noConversion"/>
  </si>
  <si>
    <t>AA</t>
    <phoneticPr fontId="1" type="noConversion"/>
  </si>
  <si>
    <t>AZ</t>
    <phoneticPr fontId="1" type="noConversion"/>
  </si>
  <si>
    <t>BA</t>
    <phoneticPr fontId="1" type="noConversion"/>
  </si>
  <si>
    <t>1*26 + 26</t>
    <phoneticPr fontId="1" type="noConversion"/>
  </si>
  <si>
    <t>25가 남아</t>
    <phoneticPr fontId="1" type="noConversion"/>
  </si>
  <si>
    <t>아스키값</t>
    <phoneticPr fontId="1" type="noConversion"/>
  </si>
  <si>
    <t>BZ</t>
    <phoneticPr fontId="1" type="noConversion"/>
  </si>
  <si>
    <t>CA</t>
    <phoneticPr fontId="1" type="noConversion"/>
  </si>
  <si>
    <t>컬럼</t>
    <phoneticPr fontId="1" type="noConversion"/>
  </si>
  <si>
    <t>숫자</t>
    <phoneticPr fontId="1" type="noConversion"/>
  </si>
  <si>
    <t>내가 만든 numToChar</t>
    <phoneticPr fontId="1" type="noConversion"/>
  </si>
  <si>
    <t>AAA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</si>
</sst>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2" borderId="1" xfId="0" applyFill="1" applyBorder="1"/>
    <xf numFmtId="0" fontId="2" fillId="0" borderId="0" xfId="0" applyFont="1" applyBorder="1"/>
    <xf numFmtId="0" fontId="0" fillId="0" borderId="0" xfId="0" applyBorder="1"/>
    <xf numFmtId="0" fontId="0" fillId="2" borderId="2" xfId="0" applyFill="1" applyBorder="1"/>
    <xf numFmtId="0" fontId="0" fillId="3" borderId="1" xfId="0" applyFill="1" applyBorder="1"/>
    <xf numFmtId="0" fontId="0" fillId="3" borderId="0" xfId="0" applyFill="1" applyBorder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E5" sqref="E5"/>
    </sheetView>
  </sheetViews>
  <sheetFormatPr defaultRowHeight="17.399999999999999"/>
  <sheetData>
    <row r="1" spans="1:2">
      <c r="A1" t="s">
        <v>0</v>
      </c>
      <c r="B1">
        <f>IF(IF(ISERROR(SEARCH("C",A1)),0,1)+IF(ISERROR(SEARCH("R",A1)),0,1)+IF(ISERROR(SEARCH("U",A1)),0,1)+IF(ISERROR(SEARCH("D",A1)),0,1)&gt;0,1,0)</f>
        <v>1</v>
      </c>
    </row>
    <row r="2" spans="1:2">
      <c r="A2" t="s">
        <v>1</v>
      </c>
      <c r="B2">
        <f t="shared" ref="B2:B7" si="0">IF(IF(ISERROR(SEARCH("C",A2)),0,1)+IF(ISERROR(SEARCH("R",A2)),0,1)+IF(ISERROR(SEARCH("U",A2)),0,1)+IF(ISERROR(SEARCH("D",A2)),0,1)&gt;0,1,0)</f>
        <v>1</v>
      </c>
    </row>
    <row r="3" spans="1:2">
      <c r="A3" t="s">
        <v>2</v>
      </c>
      <c r="B3">
        <f t="shared" si="0"/>
        <v>1</v>
      </c>
    </row>
    <row r="4" spans="1:2">
      <c r="B4">
        <f t="shared" si="0"/>
        <v>0</v>
      </c>
    </row>
    <row r="5" spans="1:2">
      <c r="B5">
        <f t="shared" si="0"/>
        <v>0</v>
      </c>
    </row>
    <row r="6" spans="1:2">
      <c r="A6" t="s">
        <v>3</v>
      </c>
      <c r="B6">
        <f t="shared" si="0"/>
        <v>1</v>
      </c>
    </row>
    <row r="7" spans="1:2">
      <c r="A7" t="s">
        <v>4</v>
      </c>
      <c r="B7">
        <f t="shared" si="0"/>
        <v>1</v>
      </c>
    </row>
    <row r="8" spans="1:2">
      <c r="A8">
        <f>SEARCH(A1,"C")</f>
        <v>1</v>
      </c>
    </row>
    <row r="9" spans="1:2">
      <c r="A9" t="e">
        <f>SEARCH(A2,"C")</f>
        <v>#VALUE!</v>
      </c>
    </row>
    <row r="10" spans="1:2">
      <c r="A10">
        <f>IF(ISERROR(A9), 0, 1)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9"/>
  <sheetViews>
    <sheetView workbookViewId="0">
      <selection activeCell="M4" sqref="M4"/>
    </sheetView>
  </sheetViews>
  <sheetFormatPr defaultRowHeight="17.399999999999999"/>
  <cols>
    <col min="1" max="1" width="17.69921875" style="1" customWidth="1"/>
  </cols>
  <sheetData>
    <row r="1" spans="1:13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3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8" t="s">
        <v>67</v>
      </c>
      <c r="L2" s="8" t="s">
        <v>68</v>
      </c>
      <c r="M2" s="8" t="s">
        <v>69</v>
      </c>
    </row>
    <row r="3" spans="1:13">
      <c r="A3" s="2" t="s">
        <v>15</v>
      </c>
      <c r="B3" s="3" t="s">
        <v>22</v>
      </c>
      <c r="C3" s="3" t="s">
        <v>23</v>
      </c>
      <c r="D3" s="9" t="s">
        <v>24</v>
      </c>
      <c r="E3" s="3"/>
      <c r="F3" s="3" t="s">
        <v>30</v>
      </c>
      <c r="G3" s="3"/>
      <c r="H3" s="9"/>
      <c r="I3" s="3"/>
      <c r="J3" s="3"/>
      <c r="K3">
        <f>getTotTable(B3:J3)</f>
        <v>0</v>
      </c>
      <c r="L3">
        <f>getColSum(B3:J3)</f>
        <v>0</v>
      </c>
      <c r="M3" t="str">
        <f>hasTrig(B3:J3)</f>
        <v>trig</v>
      </c>
    </row>
    <row r="4" spans="1:13">
      <c r="A4" s="2" t="s">
        <v>16</v>
      </c>
      <c r="B4" s="3"/>
      <c r="C4" s="3"/>
      <c r="D4" s="9"/>
      <c r="E4" s="3"/>
      <c r="F4" s="3"/>
      <c r="G4" s="3"/>
      <c r="H4" s="9"/>
      <c r="I4" s="3" t="s">
        <v>35</v>
      </c>
      <c r="J4" s="3" t="s">
        <v>30</v>
      </c>
      <c r="K4">
        <f t="shared" ref="K4:K9" si="0">getTotTable(B4:J4)</f>
        <v>0</v>
      </c>
      <c r="L4">
        <f t="shared" ref="L4:L9" si="1">getColSum(B4:J4)</f>
        <v>0</v>
      </c>
      <c r="M4" t="str">
        <f>hasTrig(B4:J4)</f>
        <v>noTrig</v>
      </c>
    </row>
    <row r="5" spans="1:13">
      <c r="A5" s="2" t="s">
        <v>17</v>
      </c>
      <c r="B5" s="3" t="s">
        <v>36</v>
      </c>
      <c r="C5" s="3"/>
      <c r="D5" s="9"/>
      <c r="E5" s="3" t="s">
        <v>25</v>
      </c>
      <c r="F5" s="3" t="s">
        <v>26</v>
      </c>
      <c r="G5" s="3" t="s">
        <v>27</v>
      </c>
      <c r="H5" s="9"/>
      <c r="I5" s="3"/>
      <c r="J5" s="3" t="s">
        <v>31</v>
      </c>
      <c r="K5">
        <f t="shared" si="0"/>
        <v>0</v>
      </c>
      <c r="L5">
        <f t="shared" si="1"/>
        <v>0</v>
      </c>
      <c r="M5" t="str">
        <f t="shared" ref="M4:M9" si="2">hasTrig(B5:J5)</f>
        <v>noTrig</v>
      </c>
    </row>
    <row r="6" spans="1:13">
      <c r="A6" s="2" t="s">
        <v>18</v>
      </c>
      <c r="B6" s="3"/>
      <c r="C6" s="3"/>
      <c r="D6" s="9"/>
      <c r="E6" s="3"/>
      <c r="F6" s="3"/>
      <c r="G6" s="3"/>
      <c r="H6" s="9" t="s">
        <v>25</v>
      </c>
      <c r="I6" s="3"/>
      <c r="J6" s="3"/>
      <c r="K6">
        <f t="shared" si="0"/>
        <v>0</v>
      </c>
      <c r="L6">
        <f t="shared" si="1"/>
        <v>0</v>
      </c>
      <c r="M6" t="str">
        <f t="shared" si="2"/>
        <v>noTrig</v>
      </c>
    </row>
    <row r="7" spans="1:13">
      <c r="A7" s="2" t="s">
        <v>19</v>
      </c>
      <c r="B7" s="3"/>
      <c r="C7" s="3" t="s">
        <v>32</v>
      </c>
      <c r="D7" s="9" t="s">
        <v>36</v>
      </c>
      <c r="E7" s="3"/>
      <c r="F7" s="3" t="s">
        <v>30</v>
      </c>
      <c r="G7" s="3"/>
      <c r="H7" s="9" t="s">
        <v>28</v>
      </c>
      <c r="I7" s="3"/>
      <c r="J7" s="3" t="s">
        <v>27</v>
      </c>
      <c r="K7">
        <f t="shared" si="0"/>
        <v>0</v>
      </c>
      <c r="L7">
        <f t="shared" si="1"/>
        <v>0</v>
      </c>
      <c r="M7" t="str">
        <f t="shared" si="2"/>
        <v>noTrig</v>
      </c>
    </row>
    <row r="8" spans="1:13">
      <c r="A8" s="2" t="s">
        <v>20</v>
      </c>
      <c r="B8" s="3" t="s">
        <v>30</v>
      </c>
      <c r="C8" s="3" t="s">
        <v>33</v>
      </c>
      <c r="D8" s="9"/>
      <c r="E8" s="3"/>
      <c r="F8" s="3"/>
      <c r="G8" s="3"/>
      <c r="H8" s="9" t="s">
        <v>29</v>
      </c>
      <c r="I8" s="3"/>
      <c r="J8" s="3"/>
      <c r="K8">
        <f t="shared" si="0"/>
        <v>1</v>
      </c>
      <c r="L8">
        <f t="shared" si="1"/>
        <v>0</v>
      </c>
      <c r="M8" t="str">
        <f t="shared" si="2"/>
        <v>noTrig</v>
      </c>
    </row>
    <row r="9" spans="1:13">
      <c r="A9" s="2" t="s">
        <v>21</v>
      </c>
      <c r="B9" s="3"/>
      <c r="C9" s="3"/>
      <c r="D9" s="9" t="s">
        <v>37</v>
      </c>
      <c r="E9" s="3"/>
      <c r="F9" s="3" t="s">
        <v>30</v>
      </c>
      <c r="G9" s="3"/>
      <c r="H9" s="9"/>
      <c r="I9" s="3" t="s">
        <v>34</v>
      </c>
      <c r="J9" s="3"/>
      <c r="K9">
        <f t="shared" si="0"/>
        <v>0</v>
      </c>
      <c r="L9">
        <f t="shared" si="1"/>
        <v>0</v>
      </c>
      <c r="M9" t="str">
        <f t="shared" si="2"/>
        <v>noTrig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9"/>
  <sheetViews>
    <sheetView workbookViewId="0">
      <selection activeCell="D9" sqref="D9"/>
    </sheetView>
  </sheetViews>
  <sheetFormatPr defaultRowHeight="17.399999999999999"/>
  <cols>
    <col min="1" max="1" width="17.69921875" style="1" customWidth="1"/>
  </cols>
  <sheetData>
    <row r="1" spans="1:13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3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8" t="s">
        <v>38</v>
      </c>
      <c r="L2" s="8" t="s">
        <v>39</v>
      </c>
      <c r="M2" s="8" t="s">
        <v>64</v>
      </c>
    </row>
    <row r="3" spans="1:13">
      <c r="A3" s="2" t="s">
        <v>15</v>
      </c>
      <c r="B3" s="3" t="s">
        <v>22</v>
      </c>
      <c r="C3" s="3" t="s">
        <v>23</v>
      </c>
      <c r="D3" s="9" t="s">
        <v>24</v>
      </c>
      <c r="E3" s="3"/>
      <c r="F3" s="3" t="s">
        <v>26</v>
      </c>
      <c r="G3" s="3"/>
      <c r="H3" s="9"/>
      <c r="I3" s="3"/>
      <c r="J3" s="3"/>
      <c r="K3">
        <f>getTotTable(B3:J3)</f>
        <v>0</v>
      </c>
      <c r="L3">
        <f>getColSum(B3:J3)</f>
        <v>0</v>
      </c>
      <c r="M3" t="str">
        <f>hasTrig(B3:J3)</f>
        <v>noTrig</v>
      </c>
    </row>
    <row r="4" spans="1:13">
      <c r="A4" s="2" t="s">
        <v>16</v>
      </c>
      <c r="B4" s="3"/>
      <c r="C4" s="3"/>
      <c r="D4" s="9"/>
      <c r="E4" s="3"/>
      <c r="F4" s="3"/>
      <c r="G4" s="3"/>
      <c r="H4" s="9"/>
      <c r="I4" s="3" t="s">
        <v>35</v>
      </c>
      <c r="J4" s="3" t="s">
        <v>26</v>
      </c>
      <c r="K4">
        <f t="shared" ref="K4:K9" si="0">getTotTable(B4:J4)</f>
        <v>0</v>
      </c>
      <c r="L4">
        <f t="shared" ref="L4:L9" si="1">getColSum(B4:J4)</f>
        <v>0</v>
      </c>
      <c r="M4" t="str">
        <f t="shared" ref="M4:M9" si="2">hasTrig(B4:J4)</f>
        <v>noTrig</v>
      </c>
    </row>
    <row r="5" spans="1:13">
      <c r="A5" s="2" t="s">
        <v>17</v>
      </c>
      <c r="B5" s="3" t="s">
        <v>26</v>
      </c>
      <c r="C5" s="3"/>
      <c r="D5" s="9"/>
      <c r="E5" s="3" t="s">
        <v>22</v>
      </c>
      <c r="F5" s="3" t="s">
        <v>26</v>
      </c>
      <c r="G5" s="3" t="s">
        <v>27</v>
      </c>
      <c r="H5" s="9"/>
      <c r="I5" s="3"/>
      <c r="J5" s="3" t="s">
        <v>31</v>
      </c>
      <c r="K5">
        <f t="shared" si="0"/>
        <v>0</v>
      </c>
      <c r="L5">
        <f t="shared" si="1"/>
        <v>0</v>
      </c>
      <c r="M5" t="str">
        <f t="shared" si="2"/>
        <v>noTrig</v>
      </c>
    </row>
    <row r="6" spans="1:13">
      <c r="A6" s="2" t="s">
        <v>18</v>
      </c>
      <c r="B6" s="3"/>
      <c r="C6" s="3"/>
      <c r="D6" s="9"/>
      <c r="E6" s="3"/>
      <c r="F6" s="3"/>
      <c r="G6" s="3"/>
      <c r="H6" s="9" t="s">
        <v>22</v>
      </c>
      <c r="I6" s="3"/>
      <c r="J6" s="3"/>
      <c r="K6">
        <f t="shared" si="0"/>
        <v>0</v>
      </c>
      <c r="L6">
        <f t="shared" si="1"/>
        <v>0</v>
      </c>
      <c r="M6" t="str">
        <f t="shared" si="2"/>
        <v>noTrig</v>
      </c>
    </row>
    <row r="7" spans="1:13">
      <c r="A7" s="2" t="s">
        <v>19</v>
      </c>
      <c r="B7" s="3"/>
      <c r="C7" s="3" t="s">
        <v>22</v>
      </c>
      <c r="D7" s="9" t="s">
        <v>26</v>
      </c>
      <c r="E7" s="3"/>
      <c r="F7" s="3" t="s">
        <v>26</v>
      </c>
      <c r="G7" s="3"/>
      <c r="H7" s="9" t="s">
        <v>28</v>
      </c>
      <c r="I7" s="3"/>
      <c r="J7" s="3" t="s">
        <v>27</v>
      </c>
      <c r="K7">
        <f t="shared" si="0"/>
        <v>0</v>
      </c>
      <c r="L7">
        <f t="shared" si="1"/>
        <v>0</v>
      </c>
      <c r="M7" t="str">
        <f t="shared" si="2"/>
        <v>noTrig</v>
      </c>
    </row>
    <row r="8" spans="1:13">
      <c r="A8" s="2" t="s">
        <v>20</v>
      </c>
      <c r="B8" s="3" t="s">
        <v>26</v>
      </c>
      <c r="C8" s="3" t="s">
        <v>29</v>
      </c>
      <c r="D8" s="9"/>
      <c r="E8" s="3"/>
      <c r="F8" s="3"/>
      <c r="G8" s="3"/>
      <c r="H8" s="9" t="s">
        <v>29</v>
      </c>
      <c r="I8" s="3"/>
      <c r="J8" s="3"/>
      <c r="K8">
        <f t="shared" si="0"/>
        <v>1</v>
      </c>
      <c r="L8">
        <f t="shared" si="1"/>
        <v>0</v>
      </c>
      <c r="M8" t="str">
        <f t="shared" si="2"/>
        <v>noTrig</v>
      </c>
    </row>
    <row r="9" spans="1:13">
      <c r="A9" s="2" t="s">
        <v>21</v>
      </c>
      <c r="B9" s="3"/>
      <c r="C9" s="3"/>
      <c r="D9" s="9" t="s">
        <v>26</v>
      </c>
      <c r="E9" s="3"/>
      <c r="F9" s="3" t="s">
        <v>26</v>
      </c>
      <c r="G9" s="3"/>
      <c r="H9" s="9"/>
      <c r="I9" s="3" t="s">
        <v>34</v>
      </c>
      <c r="J9" s="3"/>
      <c r="K9">
        <f t="shared" si="0"/>
        <v>0</v>
      </c>
      <c r="L9">
        <f t="shared" si="1"/>
        <v>0</v>
      </c>
      <c r="M9" t="str">
        <f t="shared" si="2"/>
        <v>noTrig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5"/>
  <sheetViews>
    <sheetView workbookViewId="0">
      <selection activeCell="E23" sqref="E23"/>
    </sheetView>
  </sheetViews>
  <sheetFormatPr defaultRowHeight="17.399999999999999"/>
  <cols>
    <col min="1" max="1" width="17.69921875" style="1" customWidth="1"/>
  </cols>
  <sheetData>
    <row r="1" spans="1:10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42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26</v>
      </c>
      <c r="G3" s="3"/>
      <c r="H3" s="3"/>
      <c r="I3" s="3"/>
      <c r="J3" s="3"/>
    </row>
    <row r="4" spans="1:10" ht="16.8" customHeight="1">
      <c r="A4" s="2" t="s">
        <v>16</v>
      </c>
      <c r="B4" s="3"/>
      <c r="C4" s="3"/>
      <c r="D4" s="3"/>
      <c r="E4" s="3"/>
      <c r="F4" s="3"/>
      <c r="G4" s="3"/>
      <c r="H4" s="3"/>
      <c r="I4" s="3" t="s">
        <v>35</v>
      </c>
      <c r="J4" s="3" t="s">
        <v>26</v>
      </c>
    </row>
    <row r="5" spans="1:10">
      <c r="A5" s="2" t="s">
        <v>17</v>
      </c>
      <c r="B5" s="3" t="s">
        <v>36</v>
      </c>
      <c r="C5" s="3"/>
      <c r="D5" s="3"/>
      <c r="E5" s="3" t="s">
        <v>25</v>
      </c>
      <c r="F5" s="3" t="s">
        <v>26</v>
      </c>
      <c r="G5" s="3" t="s">
        <v>27</v>
      </c>
      <c r="H5" s="3"/>
      <c r="I5" s="3"/>
      <c r="J5" s="3" t="s">
        <v>31</v>
      </c>
    </row>
    <row r="6" spans="1:10">
      <c r="A6" s="2"/>
      <c r="B6" s="3"/>
      <c r="C6" s="3"/>
      <c r="D6" s="3"/>
      <c r="E6" s="3"/>
      <c r="F6" s="3"/>
      <c r="G6" s="3"/>
      <c r="H6" s="3"/>
      <c r="I6" s="3"/>
      <c r="J6" s="3"/>
    </row>
    <row r="7" spans="1:10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>
      <c r="A8" s="2"/>
      <c r="B8" s="3"/>
      <c r="C8" s="3"/>
      <c r="D8" s="3"/>
      <c r="E8" s="3"/>
      <c r="F8" s="3"/>
      <c r="G8" s="3"/>
      <c r="H8" s="3"/>
      <c r="I8" s="3"/>
      <c r="J8" s="3"/>
    </row>
    <row r="9" spans="1:10">
      <c r="A9" s="2"/>
      <c r="B9" s="3"/>
      <c r="C9" s="3"/>
      <c r="D9" s="3"/>
      <c r="E9" s="3"/>
      <c r="F9" s="3"/>
      <c r="G9" s="3"/>
      <c r="H9" s="3"/>
      <c r="I9" s="3"/>
      <c r="J9" s="3"/>
    </row>
    <row r="10" spans="1:10">
      <c r="A10" s="2" t="s">
        <v>18</v>
      </c>
      <c r="B10" s="3"/>
      <c r="C10" s="3"/>
      <c r="D10" s="3"/>
      <c r="E10" s="3"/>
      <c r="F10" s="3"/>
      <c r="G10" s="3"/>
      <c r="H10" s="3" t="s">
        <v>25</v>
      </c>
      <c r="I10" s="3"/>
      <c r="J10" s="3"/>
    </row>
    <row r="11" spans="1:10">
      <c r="A11" s="2"/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2" t="s">
        <v>19</v>
      </c>
      <c r="B12" s="3"/>
      <c r="C12" s="3" t="s">
        <v>32</v>
      </c>
      <c r="D12" s="3" t="s">
        <v>36</v>
      </c>
      <c r="E12" s="3"/>
      <c r="F12" s="3" t="s">
        <v>26</v>
      </c>
      <c r="G12" s="3"/>
      <c r="H12" s="3" t="s">
        <v>28</v>
      </c>
      <c r="I12" s="3"/>
      <c r="J12" s="3" t="s">
        <v>27</v>
      </c>
    </row>
    <row r="13" spans="1:10">
      <c r="A13" s="2"/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2"/>
      <c r="B14" s="3"/>
      <c r="C14" s="3"/>
      <c r="D14" s="3"/>
      <c r="E14" s="3"/>
      <c r="F14" s="3"/>
      <c r="G14" s="3"/>
      <c r="H14" s="3"/>
      <c r="I14" s="3"/>
      <c r="J14" s="3"/>
    </row>
    <row r="15" spans="1:10">
      <c r="A15" s="2"/>
      <c r="B15" s="3"/>
      <c r="C15" s="3"/>
      <c r="D15" s="3"/>
      <c r="E15" s="3"/>
      <c r="F15" s="3"/>
      <c r="G15" s="3"/>
      <c r="H15" s="3"/>
      <c r="I15" s="3"/>
      <c r="J15" s="3"/>
    </row>
    <row r="16" spans="1:10">
      <c r="A16" s="2"/>
      <c r="B16" s="3"/>
      <c r="C16" s="3"/>
      <c r="D16" s="3"/>
      <c r="E16" s="3"/>
      <c r="F16" s="3"/>
      <c r="G16" s="3"/>
      <c r="H16" s="3"/>
      <c r="I16" s="3"/>
      <c r="J16" s="3"/>
    </row>
    <row r="17" spans="1:10">
      <c r="A17" s="2" t="s">
        <v>20</v>
      </c>
      <c r="B17" s="3" t="s">
        <v>26</v>
      </c>
      <c r="C17" s="3" t="s">
        <v>33</v>
      </c>
      <c r="D17" s="3"/>
      <c r="E17" s="3"/>
      <c r="F17" s="3"/>
      <c r="G17" s="3"/>
      <c r="H17" s="3" t="s">
        <v>29</v>
      </c>
      <c r="I17" s="3"/>
      <c r="J17" s="3"/>
    </row>
    <row r="18" spans="1:10">
      <c r="A18" s="2"/>
      <c r="B18" s="3"/>
      <c r="C18" s="3"/>
      <c r="D18" s="3"/>
      <c r="E18" s="3"/>
      <c r="F18" s="3"/>
      <c r="G18" s="3"/>
      <c r="H18" s="3"/>
      <c r="I18" s="3"/>
      <c r="J18" s="3"/>
    </row>
    <row r="19" spans="1:10">
      <c r="A19" s="2"/>
      <c r="B19" s="3"/>
      <c r="C19" s="3"/>
      <c r="D19" s="3"/>
      <c r="E19" s="3"/>
      <c r="F19" s="3"/>
      <c r="G19" s="3"/>
      <c r="H19" s="3"/>
      <c r="I19" s="3"/>
      <c r="J19" s="3"/>
    </row>
    <row r="20" spans="1:10">
      <c r="A20" s="2" t="s">
        <v>21</v>
      </c>
      <c r="B20" s="3"/>
      <c r="C20" s="3"/>
      <c r="D20" s="3" t="s">
        <v>26</v>
      </c>
      <c r="E20" s="3"/>
      <c r="F20" s="3" t="s">
        <v>26</v>
      </c>
      <c r="G20" s="3"/>
      <c r="H20" s="3"/>
      <c r="I20" s="3" t="s">
        <v>34</v>
      </c>
      <c r="J20" s="3"/>
    </row>
    <row r="21" spans="1:10">
      <c r="A21" s="6"/>
      <c r="B21" s="7"/>
      <c r="C21" s="7"/>
      <c r="D21" s="7"/>
      <c r="E21" s="7"/>
      <c r="F21" s="7"/>
      <c r="G21" s="7"/>
      <c r="H21" s="7"/>
      <c r="I21" s="7"/>
      <c r="J21" s="7"/>
    </row>
    <row r="22" spans="1:10">
      <c r="A22" s="6"/>
      <c r="B22" s="7"/>
      <c r="C22" s="7"/>
      <c r="D22" s="7"/>
      <c r="E22" s="7"/>
      <c r="F22" s="7"/>
      <c r="G22" s="7"/>
      <c r="H22" s="7"/>
      <c r="I22" s="7"/>
      <c r="J22" s="7"/>
    </row>
    <row r="23" spans="1:10">
      <c r="A23" s="6"/>
      <c r="B23" s="7"/>
      <c r="C23" s="7"/>
      <c r="D23" s="7"/>
      <c r="E23" s="7"/>
      <c r="F23" s="7"/>
      <c r="G23" s="7"/>
      <c r="H23" s="7"/>
      <c r="I23" s="7"/>
      <c r="J23" s="7"/>
    </row>
    <row r="24" spans="1:10">
      <c r="A24" s="6"/>
      <c r="B24" s="7"/>
      <c r="C24" s="7"/>
      <c r="D24" s="7"/>
      <c r="E24" s="7"/>
      <c r="F24" s="7"/>
      <c r="G24" s="7"/>
      <c r="H24" s="7"/>
      <c r="I24" s="7"/>
      <c r="J24" s="7"/>
    </row>
    <row r="25" spans="1:10">
      <c r="B25" s="1"/>
      <c r="C25" s="1"/>
      <c r="D25" s="1"/>
      <c r="E25" s="1"/>
      <c r="F25" s="1"/>
      <c r="G25" s="1"/>
      <c r="H25" s="1"/>
      <c r="I25" s="1"/>
      <c r="J2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9"/>
  <sheetViews>
    <sheetView workbookViewId="0">
      <selection activeCell="D9" sqref="D9"/>
    </sheetView>
  </sheetViews>
  <sheetFormatPr defaultRowHeight="17.399999999999999"/>
  <cols>
    <col min="1" max="1" width="17.69921875" style="1" customWidth="1"/>
  </cols>
  <sheetData>
    <row r="1" spans="1:13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3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8" t="s">
        <v>38</v>
      </c>
      <c r="L2" s="8" t="s">
        <v>39</v>
      </c>
      <c r="M2" s="8" t="s">
        <v>64</v>
      </c>
    </row>
    <row r="3" spans="1:13">
      <c r="A3" s="2" t="s">
        <v>15</v>
      </c>
      <c r="B3" s="3" t="s">
        <v>22</v>
      </c>
      <c r="C3" s="3" t="s">
        <v>23</v>
      </c>
      <c r="D3" s="9" t="s">
        <v>24</v>
      </c>
      <c r="E3" s="3"/>
      <c r="F3" s="3" t="s">
        <v>26</v>
      </c>
      <c r="G3" s="3"/>
      <c r="H3" s="9"/>
      <c r="I3" s="3"/>
      <c r="J3" s="3"/>
      <c r="K3">
        <f>getTotTable(B3:J3)</f>
        <v>0</v>
      </c>
      <c r="L3">
        <f>getColSum(B3:J3)</f>
        <v>0</v>
      </c>
      <c r="M3" t="str">
        <f>hasTrig(B3:J3)</f>
        <v>noTrig</v>
      </c>
    </row>
    <row r="4" spans="1:13">
      <c r="A4" s="2" t="s">
        <v>16</v>
      </c>
      <c r="B4" s="3"/>
      <c r="C4" s="3"/>
      <c r="D4" s="9"/>
      <c r="E4" s="3"/>
      <c r="F4" s="3"/>
      <c r="G4" s="3"/>
      <c r="H4" s="9"/>
      <c r="I4" s="3" t="s">
        <v>35</v>
      </c>
      <c r="J4" s="3" t="s">
        <v>26</v>
      </c>
      <c r="K4">
        <f t="shared" ref="K4:K9" si="0">getTotTable(B4:J4)</f>
        <v>0</v>
      </c>
      <c r="L4">
        <f t="shared" ref="L4:L9" si="1">getColSum(B4:J4)</f>
        <v>0</v>
      </c>
      <c r="M4" t="str">
        <f t="shared" ref="M4:M9" si="2">hasTrig(B4:J4)</f>
        <v>noTrig</v>
      </c>
    </row>
    <row r="5" spans="1:13">
      <c r="A5" s="2" t="s">
        <v>17</v>
      </c>
      <c r="B5" s="3" t="s">
        <v>26</v>
      </c>
      <c r="C5" s="3"/>
      <c r="D5" s="9"/>
      <c r="E5" s="3" t="s">
        <v>22</v>
      </c>
      <c r="F5" s="3" t="s">
        <v>26</v>
      </c>
      <c r="G5" s="3" t="s">
        <v>27</v>
      </c>
      <c r="H5" s="9"/>
      <c r="I5" s="3"/>
      <c r="J5" s="3" t="s">
        <v>31</v>
      </c>
      <c r="K5">
        <f t="shared" si="0"/>
        <v>0</v>
      </c>
      <c r="L5">
        <f t="shared" si="1"/>
        <v>0</v>
      </c>
      <c r="M5" t="str">
        <f t="shared" si="2"/>
        <v>noTrig</v>
      </c>
    </row>
    <row r="6" spans="1:13">
      <c r="A6" s="2" t="s">
        <v>18</v>
      </c>
      <c r="B6" s="3"/>
      <c r="C6" s="3"/>
      <c r="D6" s="9"/>
      <c r="E6" s="3"/>
      <c r="F6" s="3"/>
      <c r="G6" s="3"/>
      <c r="H6" s="9" t="s">
        <v>22</v>
      </c>
      <c r="I6" s="3"/>
      <c r="J6" s="3"/>
      <c r="K6">
        <f t="shared" si="0"/>
        <v>0</v>
      </c>
      <c r="L6">
        <f t="shared" si="1"/>
        <v>0</v>
      </c>
      <c r="M6" t="str">
        <f t="shared" si="2"/>
        <v>noTrig</v>
      </c>
    </row>
    <row r="7" spans="1:13">
      <c r="A7" s="2" t="s">
        <v>19</v>
      </c>
      <c r="B7" s="3"/>
      <c r="C7" s="3" t="s">
        <v>22</v>
      </c>
      <c r="D7" s="9" t="s">
        <v>26</v>
      </c>
      <c r="E7" s="3"/>
      <c r="F7" s="3" t="s">
        <v>26</v>
      </c>
      <c r="G7" s="3"/>
      <c r="H7" s="9" t="s">
        <v>28</v>
      </c>
      <c r="I7" s="3"/>
      <c r="J7" s="3" t="s">
        <v>27</v>
      </c>
      <c r="K7">
        <f t="shared" si="0"/>
        <v>0</v>
      </c>
      <c r="L7">
        <f t="shared" si="1"/>
        <v>0</v>
      </c>
      <c r="M7" t="str">
        <f t="shared" si="2"/>
        <v>noTrig</v>
      </c>
    </row>
    <row r="8" spans="1:13">
      <c r="A8" s="2" t="s">
        <v>20</v>
      </c>
      <c r="B8" s="3" t="s">
        <v>26</v>
      </c>
      <c r="C8" s="3" t="s">
        <v>29</v>
      </c>
      <c r="D8" s="9"/>
      <c r="E8" s="3"/>
      <c r="F8" s="3"/>
      <c r="G8" s="3"/>
      <c r="H8" s="9" t="s">
        <v>29</v>
      </c>
      <c r="I8" s="3"/>
      <c r="J8" s="3"/>
      <c r="K8">
        <f t="shared" si="0"/>
        <v>1</v>
      </c>
      <c r="L8">
        <f t="shared" si="1"/>
        <v>0</v>
      </c>
      <c r="M8" t="str">
        <f t="shared" si="2"/>
        <v>noTrig</v>
      </c>
    </row>
    <row r="9" spans="1:13">
      <c r="A9" s="2" t="s">
        <v>21</v>
      </c>
      <c r="B9" s="3"/>
      <c r="C9" s="3"/>
      <c r="D9" s="9" t="s">
        <v>26</v>
      </c>
      <c r="E9" s="3"/>
      <c r="F9" s="3" t="s">
        <v>26</v>
      </c>
      <c r="G9" s="3"/>
      <c r="H9" s="9"/>
      <c r="I9" s="3" t="s">
        <v>34</v>
      </c>
      <c r="J9" s="3"/>
      <c r="K9">
        <f t="shared" si="0"/>
        <v>0</v>
      </c>
      <c r="L9">
        <f t="shared" si="1"/>
        <v>0</v>
      </c>
      <c r="M9" t="str">
        <f t="shared" si="2"/>
        <v>noTrig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0"/>
  <sheetViews>
    <sheetView workbookViewId="0">
      <selection activeCell="K4" sqref="K4"/>
    </sheetView>
  </sheetViews>
  <sheetFormatPr defaultRowHeight="17.399999999999999"/>
  <cols>
    <col min="1" max="1" width="19.59765625" style="1" bestFit="1" customWidth="1"/>
    <col min="4" max="7" width="8.796875" customWidth="1"/>
  </cols>
  <sheetData>
    <row r="1" spans="1:11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1">
      <c r="A2" s="4" t="s">
        <v>41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1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26</v>
      </c>
      <c r="G3" s="3"/>
      <c r="H3" s="3"/>
      <c r="I3" s="3"/>
      <c r="J3" s="3"/>
      <c r="K3" t="str">
        <f>searchTwoWord(A3)</f>
        <v/>
      </c>
    </row>
    <row r="4" spans="1:11">
      <c r="A4" s="2" t="s">
        <v>44</v>
      </c>
      <c r="B4" s="3"/>
      <c r="C4" s="3"/>
      <c r="D4" s="3"/>
      <c r="E4" s="3"/>
      <c r="F4" s="3"/>
      <c r="G4" s="3"/>
      <c r="H4" s="3"/>
      <c r="I4" s="3"/>
      <c r="J4" s="3"/>
      <c r="K4" t="str">
        <f t="shared" ref="K4:K28" si="0">searchTwoWord(A4)</f>
        <v>EI</v>
      </c>
    </row>
    <row r="5" spans="1:11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K5" t="str">
        <f t="shared" si="0"/>
        <v>Select</v>
      </c>
    </row>
    <row r="6" spans="1:11">
      <c r="A6" s="2" t="s">
        <v>46</v>
      </c>
      <c r="B6" s="3"/>
      <c r="C6" s="3"/>
      <c r="D6" s="3"/>
      <c r="E6" s="3"/>
      <c r="F6" s="3"/>
      <c r="G6" s="3"/>
      <c r="H6" s="3"/>
      <c r="I6" s="3"/>
      <c r="J6" s="3"/>
      <c r="K6" t="str">
        <f t="shared" si="0"/>
        <v>Update</v>
      </c>
    </row>
    <row r="7" spans="1:11">
      <c r="A7" s="2" t="s">
        <v>47</v>
      </c>
      <c r="B7" s="3"/>
      <c r="C7" s="3"/>
      <c r="D7" s="3"/>
      <c r="E7" s="3"/>
      <c r="F7" s="3"/>
      <c r="G7" s="3"/>
      <c r="H7" s="3"/>
      <c r="I7" s="3"/>
      <c r="J7" s="3"/>
      <c r="K7" t="str">
        <f t="shared" si="0"/>
        <v>Delete</v>
      </c>
    </row>
    <row r="8" spans="1:11">
      <c r="A8" s="2" t="s">
        <v>16</v>
      </c>
      <c r="B8" s="3"/>
      <c r="C8" s="3"/>
      <c r="D8" s="3"/>
      <c r="E8" s="3"/>
      <c r="F8" s="3"/>
      <c r="G8" s="3"/>
      <c r="H8" s="3"/>
      <c r="I8" s="3" t="s">
        <v>35</v>
      </c>
      <c r="J8" s="3" t="s">
        <v>26</v>
      </c>
      <c r="K8" t="str">
        <f t="shared" si="0"/>
        <v/>
      </c>
    </row>
    <row r="9" spans="1:11">
      <c r="A9" s="2" t="s">
        <v>48</v>
      </c>
      <c r="B9" s="3"/>
      <c r="C9" s="3"/>
      <c r="D9" s="3"/>
      <c r="E9" s="3"/>
      <c r="F9" s="3"/>
      <c r="G9" s="3"/>
      <c r="H9" s="3"/>
      <c r="I9" s="3"/>
      <c r="J9" s="3"/>
      <c r="K9" t="str">
        <f t="shared" si="0"/>
        <v>EI</v>
      </c>
    </row>
    <row r="10" spans="1:11">
      <c r="A10" s="2" t="s">
        <v>49</v>
      </c>
      <c r="B10" s="3"/>
      <c r="C10" s="3"/>
      <c r="D10" s="3"/>
      <c r="E10" s="3"/>
      <c r="F10" s="3"/>
      <c r="G10" s="3"/>
      <c r="H10" s="3"/>
      <c r="I10" s="3"/>
      <c r="J10" s="3"/>
      <c r="K10" t="str">
        <f t="shared" si="0"/>
        <v>Select</v>
      </c>
    </row>
    <row r="11" spans="1:11">
      <c r="A11" s="2" t="s">
        <v>50</v>
      </c>
      <c r="B11" s="3"/>
      <c r="C11" s="3"/>
      <c r="D11" s="3"/>
      <c r="E11" s="3"/>
      <c r="F11" s="3"/>
      <c r="G11" s="3"/>
      <c r="H11" s="3"/>
      <c r="I11" s="3"/>
      <c r="J11" s="3"/>
      <c r="K11" t="str">
        <f t="shared" si="0"/>
        <v>Update</v>
      </c>
    </row>
    <row r="12" spans="1:11">
      <c r="A12" s="2" t="s">
        <v>17</v>
      </c>
      <c r="B12" s="3" t="s">
        <v>36</v>
      </c>
      <c r="C12" s="3"/>
      <c r="D12" s="3"/>
      <c r="E12" s="3" t="s">
        <v>25</v>
      </c>
      <c r="F12" s="3" t="s">
        <v>26</v>
      </c>
      <c r="G12" s="3" t="s">
        <v>27</v>
      </c>
      <c r="H12" s="3"/>
      <c r="I12" s="3"/>
      <c r="J12" s="3" t="s">
        <v>31</v>
      </c>
      <c r="K12" t="str">
        <f t="shared" si="0"/>
        <v/>
      </c>
    </row>
    <row r="13" spans="1:11">
      <c r="A13" s="2" t="s">
        <v>51</v>
      </c>
      <c r="B13" s="3"/>
      <c r="C13" s="3"/>
      <c r="D13" s="3"/>
      <c r="E13" s="3"/>
      <c r="F13" s="3"/>
      <c r="G13" s="3"/>
      <c r="H13" s="3"/>
      <c r="I13" s="3"/>
      <c r="J13" s="3"/>
      <c r="K13" t="str">
        <f t="shared" si="0"/>
        <v>EI</v>
      </c>
    </row>
    <row r="14" spans="1:11">
      <c r="A14" s="2" t="s">
        <v>52</v>
      </c>
      <c r="B14" s="3"/>
      <c r="C14" s="3"/>
      <c r="D14" s="3"/>
      <c r="E14" s="3"/>
      <c r="F14" s="3"/>
      <c r="G14" s="3"/>
      <c r="H14" s="3"/>
      <c r="I14" s="3"/>
      <c r="J14" s="3"/>
      <c r="K14" t="str">
        <f t="shared" si="0"/>
        <v>Select</v>
      </c>
    </row>
    <row r="15" spans="1:11">
      <c r="A15" s="2" t="s">
        <v>53</v>
      </c>
      <c r="B15" s="3"/>
      <c r="C15" s="3"/>
      <c r="D15" s="3"/>
      <c r="E15" s="3"/>
      <c r="F15" s="3"/>
      <c r="G15" s="3"/>
      <c r="H15" s="3"/>
      <c r="I15" s="3"/>
      <c r="J15" s="3"/>
      <c r="K15" t="str">
        <f t="shared" si="0"/>
        <v>Update</v>
      </c>
    </row>
    <row r="16" spans="1:11">
      <c r="A16" s="2" t="s">
        <v>54</v>
      </c>
      <c r="B16" s="3"/>
      <c r="C16" s="3"/>
      <c r="D16" s="3"/>
      <c r="E16" s="3"/>
      <c r="F16" s="3"/>
      <c r="G16" s="3"/>
      <c r="H16" s="3"/>
      <c r="I16" s="3"/>
      <c r="J16" s="3"/>
      <c r="K16" t="str">
        <f t="shared" si="0"/>
        <v>Delete</v>
      </c>
    </row>
    <row r="17" spans="1:11">
      <c r="A17" s="2" t="s">
        <v>18</v>
      </c>
      <c r="B17" s="3"/>
      <c r="C17" s="3"/>
      <c r="D17" s="3"/>
      <c r="E17" s="3"/>
      <c r="F17" s="3"/>
      <c r="G17" s="3"/>
      <c r="H17" s="3" t="s">
        <v>25</v>
      </c>
      <c r="I17" s="3"/>
      <c r="J17" s="3"/>
      <c r="K17" t="str">
        <f t="shared" si="0"/>
        <v/>
      </c>
    </row>
    <row r="18" spans="1:11">
      <c r="A18" s="2" t="s">
        <v>55</v>
      </c>
      <c r="B18" s="3"/>
      <c r="C18" s="3"/>
      <c r="D18" s="3"/>
      <c r="E18" s="3"/>
      <c r="F18" s="3"/>
      <c r="G18" s="3"/>
      <c r="H18" s="3"/>
      <c r="I18" s="3"/>
      <c r="J18" s="3"/>
      <c r="K18" t="str">
        <f t="shared" si="0"/>
        <v>EI</v>
      </c>
    </row>
    <row r="19" spans="1:11">
      <c r="A19" s="2" t="s">
        <v>43</v>
      </c>
      <c r="B19" s="3"/>
      <c r="C19" s="3"/>
      <c r="D19" s="3"/>
      <c r="E19" s="3"/>
      <c r="F19" s="3"/>
      <c r="G19" s="3"/>
      <c r="H19" s="3"/>
      <c r="I19" s="3"/>
      <c r="J19" s="3"/>
      <c r="K19" t="str">
        <f t="shared" si="0"/>
        <v>EI</v>
      </c>
    </row>
    <row r="20" spans="1:11">
      <c r="A20" s="2" t="s">
        <v>19</v>
      </c>
      <c r="B20" s="3"/>
      <c r="C20" s="3" t="s">
        <v>32</v>
      </c>
      <c r="D20" s="3" t="s">
        <v>36</v>
      </c>
      <c r="E20" s="3"/>
      <c r="F20" s="3" t="s">
        <v>26</v>
      </c>
      <c r="G20" s="3"/>
      <c r="H20" s="3" t="s">
        <v>28</v>
      </c>
      <c r="I20" s="3"/>
      <c r="J20" s="3" t="s">
        <v>27</v>
      </c>
      <c r="K20" t="str">
        <f t="shared" si="0"/>
        <v/>
      </c>
    </row>
    <row r="21" spans="1:11">
      <c r="A21" s="2" t="s">
        <v>56</v>
      </c>
      <c r="B21" s="3"/>
      <c r="C21" s="3"/>
      <c r="D21" s="3"/>
      <c r="E21" s="3"/>
      <c r="F21" s="3"/>
      <c r="G21" s="3"/>
      <c r="H21" s="3"/>
      <c r="I21" s="3"/>
      <c r="J21" s="3"/>
      <c r="K21" t="str">
        <f t="shared" si="0"/>
        <v>EI</v>
      </c>
    </row>
    <row r="22" spans="1:11">
      <c r="A22" s="2" t="s">
        <v>57</v>
      </c>
      <c r="B22" s="3"/>
      <c r="C22" s="3"/>
      <c r="D22" s="3"/>
      <c r="E22" s="3"/>
      <c r="F22" s="3"/>
      <c r="G22" s="3"/>
      <c r="H22" s="3"/>
      <c r="I22" s="3"/>
      <c r="J22" s="3"/>
      <c r="K22" t="str">
        <f t="shared" si="0"/>
        <v>Select</v>
      </c>
    </row>
    <row r="23" spans="1:11">
      <c r="A23" s="2" t="s">
        <v>58</v>
      </c>
      <c r="B23" s="3"/>
      <c r="C23" s="3"/>
      <c r="D23" s="3"/>
      <c r="E23" s="3"/>
      <c r="F23" s="3"/>
      <c r="G23" s="3"/>
      <c r="H23" s="3"/>
      <c r="I23" s="3"/>
      <c r="J23" s="3"/>
      <c r="K23" t="str">
        <f t="shared" si="0"/>
        <v>Update</v>
      </c>
    </row>
    <row r="24" spans="1:11">
      <c r="A24" s="2" t="s">
        <v>59</v>
      </c>
      <c r="B24" s="3"/>
      <c r="C24" s="3"/>
      <c r="D24" s="3"/>
      <c r="E24" s="3"/>
      <c r="F24" s="3"/>
      <c r="G24" s="3"/>
      <c r="H24" s="3"/>
      <c r="I24" s="3"/>
      <c r="J24" s="3"/>
      <c r="K24" t="str">
        <f t="shared" si="0"/>
        <v>Delete</v>
      </c>
    </row>
    <row r="25" spans="1:11">
      <c r="A25" s="2" t="s">
        <v>20</v>
      </c>
      <c r="B25" s="3" t="s">
        <v>26</v>
      </c>
      <c r="C25" s="3" t="s">
        <v>33</v>
      </c>
      <c r="D25" s="3"/>
      <c r="E25" s="3"/>
      <c r="F25" s="3"/>
      <c r="G25" s="3"/>
      <c r="H25" s="3" t="s">
        <v>29</v>
      </c>
      <c r="I25" s="3"/>
      <c r="J25" s="3"/>
      <c r="K25" t="str">
        <f t="shared" si="0"/>
        <v/>
      </c>
    </row>
    <row r="26" spans="1:11">
      <c r="A26" s="2" t="s">
        <v>60</v>
      </c>
      <c r="B26" s="3"/>
      <c r="C26" s="3"/>
      <c r="D26" s="3"/>
      <c r="E26" s="3"/>
      <c r="F26" s="3"/>
      <c r="G26" s="3"/>
      <c r="H26" s="3"/>
      <c r="I26" s="3"/>
      <c r="J26" s="3"/>
      <c r="K26" t="str">
        <f t="shared" si="0"/>
        <v>Select</v>
      </c>
    </row>
    <row r="27" spans="1:11">
      <c r="A27" s="2" t="s">
        <v>61</v>
      </c>
      <c r="B27" s="3"/>
      <c r="C27" s="3"/>
      <c r="D27" s="3"/>
      <c r="E27" s="3"/>
      <c r="F27" s="3"/>
      <c r="G27" s="3"/>
      <c r="H27" s="3"/>
      <c r="I27" s="3"/>
      <c r="J27" s="3"/>
      <c r="K27" t="str">
        <f t="shared" si="0"/>
        <v>Delete</v>
      </c>
    </row>
    <row r="28" spans="1:11">
      <c r="A28" s="2" t="s">
        <v>21</v>
      </c>
      <c r="B28" s="3"/>
      <c r="C28" s="3"/>
      <c r="D28" s="3" t="s">
        <v>26</v>
      </c>
      <c r="E28" s="3"/>
      <c r="F28" s="3" t="s">
        <v>26</v>
      </c>
      <c r="G28" s="3"/>
      <c r="H28" s="3"/>
      <c r="I28" s="3" t="s">
        <v>34</v>
      </c>
      <c r="J28" s="3"/>
      <c r="K28" t="str">
        <f t="shared" si="0"/>
        <v/>
      </c>
    </row>
    <row r="29" spans="1:11">
      <c r="A29" s="6" t="s">
        <v>62</v>
      </c>
      <c r="B29" s="7"/>
      <c r="C29" s="7"/>
      <c r="D29" s="7"/>
      <c r="E29" s="7"/>
      <c r="F29" s="7"/>
      <c r="G29" s="7"/>
      <c r="H29" s="7"/>
      <c r="I29" s="7"/>
      <c r="J29" s="7"/>
    </row>
    <row r="30" spans="1:11">
      <c r="A30" s="6" t="s">
        <v>63</v>
      </c>
      <c r="B30" s="7"/>
      <c r="C30" s="7"/>
      <c r="D30" s="7"/>
      <c r="E30" s="7"/>
      <c r="F30" s="7"/>
      <c r="G30" s="7"/>
      <c r="H30" s="7"/>
      <c r="I30" s="7"/>
      <c r="J30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9"/>
  <sheetViews>
    <sheetView workbookViewId="0">
      <selection activeCell="K2" sqref="K2"/>
    </sheetView>
  </sheetViews>
  <sheetFormatPr defaultRowHeight="17.399999999999999"/>
  <cols>
    <col min="1" max="1" width="17.69921875" style="1" customWidth="1"/>
  </cols>
  <sheetData>
    <row r="1" spans="1:10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65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26</v>
      </c>
      <c r="G3" s="3"/>
      <c r="H3" s="3"/>
      <c r="I3" s="3"/>
      <c r="J3" s="3"/>
    </row>
    <row r="4" spans="1:10">
      <c r="A4" s="2" t="s">
        <v>44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2" t="s">
        <v>46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2" t="s">
        <v>47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2" t="s">
        <v>16</v>
      </c>
      <c r="B8" s="3"/>
      <c r="C8" s="3"/>
      <c r="D8" s="3"/>
      <c r="E8" s="3"/>
      <c r="F8" s="3"/>
      <c r="G8" s="3"/>
      <c r="H8" s="3"/>
      <c r="I8" s="3" t="s">
        <v>35</v>
      </c>
      <c r="J8" s="3" t="s">
        <v>26</v>
      </c>
    </row>
    <row r="9" spans="1:10">
      <c r="A9" s="2" t="s">
        <v>48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2" t="s">
        <v>49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2" t="s">
        <v>50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2" t="s">
        <v>17</v>
      </c>
      <c r="B12" s="3" t="s">
        <v>36</v>
      </c>
      <c r="C12" s="3"/>
      <c r="D12" s="3"/>
      <c r="E12" s="3" t="s">
        <v>25</v>
      </c>
      <c r="F12" s="3" t="s">
        <v>26</v>
      </c>
      <c r="G12" s="3" t="s">
        <v>27</v>
      </c>
      <c r="H12" s="3"/>
      <c r="I12" s="3"/>
      <c r="J12" s="3" t="s">
        <v>31</v>
      </c>
    </row>
    <row r="13" spans="1:10">
      <c r="A13" s="2" t="s">
        <v>51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2" t="s">
        <v>52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>
      <c r="A15" s="2" t="s">
        <v>53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>
      <c r="A16" s="2" t="s">
        <v>54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>
      <c r="A17" s="2" t="s">
        <v>18</v>
      </c>
      <c r="B17" s="3"/>
      <c r="C17" s="3"/>
      <c r="D17" s="3"/>
      <c r="E17" s="3"/>
      <c r="F17" s="3"/>
      <c r="G17" s="3"/>
      <c r="H17" s="3" t="s">
        <v>25</v>
      </c>
      <c r="I17" s="3"/>
      <c r="J17" s="3"/>
    </row>
    <row r="18" spans="1:10">
      <c r="A18" s="2" t="s">
        <v>55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>
      <c r="A19" s="2" t="s">
        <v>19</v>
      </c>
      <c r="B19" s="3"/>
      <c r="C19" s="3" t="s">
        <v>32</v>
      </c>
      <c r="D19" s="3" t="s">
        <v>36</v>
      </c>
      <c r="E19" s="3"/>
      <c r="F19" s="3" t="s">
        <v>26</v>
      </c>
      <c r="G19" s="3"/>
      <c r="H19" s="3" t="s">
        <v>28</v>
      </c>
      <c r="I19" s="3"/>
      <c r="J19" s="3" t="s">
        <v>27</v>
      </c>
    </row>
    <row r="20" spans="1:10">
      <c r="A20" s="2" t="s">
        <v>56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>
      <c r="A21" s="2" t="s">
        <v>57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>
      <c r="A22" s="2" t="s">
        <v>58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>
      <c r="A23" s="2" t="s">
        <v>59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>
      <c r="A24" s="2" t="s">
        <v>20</v>
      </c>
      <c r="B24" s="3" t="s">
        <v>26</v>
      </c>
      <c r="C24" s="3" t="s">
        <v>33</v>
      </c>
      <c r="D24" s="3"/>
      <c r="E24" s="3"/>
      <c r="F24" s="3"/>
      <c r="G24" s="3"/>
      <c r="H24" s="3" t="s">
        <v>29</v>
      </c>
      <c r="I24" s="3"/>
      <c r="J24" s="3"/>
    </row>
    <row r="25" spans="1:10">
      <c r="A25" s="2" t="s">
        <v>60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>
      <c r="A26" s="2" t="s">
        <v>61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>
      <c r="A27" s="2" t="s">
        <v>21</v>
      </c>
      <c r="B27" s="3"/>
      <c r="C27" s="3"/>
      <c r="D27" s="3" t="s">
        <v>26</v>
      </c>
      <c r="E27" s="3"/>
      <c r="F27" s="3" t="s">
        <v>26</v>
      </c>
      <c r="G27" s="3"/>
      <c r="H27" s="3"/>
      <c r="I27" s="3" t="s">
        <v>34</v>
      </c>
      <c r="J27" s="3"/>
    </row>
    <row r="28" spans="1:10">
      <c r="A28" s="6" t="s">
        <v>62</v>
      </c>
      <c r="B28" s="7"/>
      <c r="C28" s="7"/>
      <c r="D28" s="7"/>
      <c r="E28" s="7"/>
      <c r="F28" s="7"/>
      <c r="G28" s="7"/>
      <c r="H28" s="7"/>
      <c r="I28" s="7"/>
      <c r="J28" s="7"/>
    </row>
    <row r="29" spans="1:10">
      <c r="A29" s="6" t="s">
        <v>63</v>
      </c>
      <c r="B29" s="7"/>
      <c r="C29" s="7"/>
      <c r="D29" s="7"/>
      <c r="E29" s="7"/>
      <c r="F29" s="7"/>
      <c r="G29" s="7"/>
      <c r="H29" s="7"/>
      <c r="I29" s="7"/>
      <c r="J29" s="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topLeftCell="A31" workbookViewId="0">
      <selection activeCell="B55" sqref="B55"/>
    </sheetView>
  </sheetViews>
  <sheetFormatPr defaultRowHeight="17.399999999999999"/>
  <cols>
    <col min="1" max="1" width="15" bestFit="1" customWidth="1"/>
    <col min="2" max="2" width="9" customWidth="1"/>
    <col min="3" max="3" width="12.09765625" customWidth="1"/>
    <col min="4" max="4" width="14.09765625" customWidth="1"/>
  </cols>
  <sheetData>
    <row r="1" spans="1:4">
      <c r="A1" s="4" t="s">
        <v>5</v>
      </c>
      <c r="B1" s="4" t="s">
        <v>40</v>
      </c>
      <c r="C1" s="5" t="s">
        <v>38</v>
      </c>
      <c r="D1" s="5" t="s">
        <v>39</v>
      </c>
    </row>
    <row r="2" spans="1:4">
      <c r="A2" s="2" t="s">
        <v>15</v>
      </c>
      <c r="B2" s="2"/>
      <c r="C2" s="3"/>
      <c r="D2" s="3"/>
    </row>
    <row r="3" spans="1:4">
      <c r="A3" s="2" t="s">
        <v>16</v>
      </c>
      <c r="B3" s="2"/>
      <c r="C3" s="3"/>
      <c r="D3" s="3"/>
    </row>
    <row r="4" spans="1:4">
      <c r="A4" s="2" t="s">
        <v>17</v>
      </c>
      <c r="B4" s="2"/>
      <c r="C4" s="3"/>
      <c r="D4" s="3"/>
    </row>
    <row r="5" spans="1:4">
      <c r="A5" s="2" t="s">
        <v>18</v>
      </c>
      <c r="B5" s="2"/>
      <c r="C5" s="3"/>
      <c r="D5" s="3"/>
    </row>
    <row r="6" spans="1:4">
      <c r="A6" s="2" t="s">
        <v>19</v>
      </c>
      <c r="B6" s="2"/>
      <c r="C6" s="3"/>
      <c r="D6" s="3"/>
    </row>
    <row r="7" spans="1:4">
      <c r="A7" s="2" t="s">
        <v>20</v>
      </c>
      <c r="B7" s="2"/>
      <c r="C7" s="3"/>
      <c r="D7" s="3"/>
    </row>
    <row r="8" spans="1:4">
      <c r="A8" s="2" t="s">
        <v>21</v>
      </c>
      <c r="B8" s="2"/>
      <c r="C8" s="3"/>
      <c r="D8" s="3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BA16"/>
  <sheetViews>
    <sheetView tabSelected="1" workbookViewId="0">
      <selection activeCell="C17" sqref="C17"/>
    </sheetView>
  </sheetViews>
  <sheetFormatPr defaultRowHeight="17.399999999999999"/>
  <cols>
    <col min="3" max="3" width="19.8984375" bestFit="1" customWidth="1"/>
  </cols>
  <sheetData>
    <row r="2" spans="1:53">
      <c r="D2" t="str">
        <f>numToChar(123)</f>
        <v>SR</v>
      </c>
      <c r="E2" t="str">
        <f>numToChar(27)</f>
        <v>A@</v>
      </c>
      <c r="F2" t="str">
        <f>numToChar(52)</f>
        <v>ZY</v>
      </c>
      <c r="H2" t="str">
        <f>CHAR(65)</f>
        <v>A</v>
      </c>
    </row>
    <row r="3" spans="1:53">
      <c r="H3" t="str">
        <f>CHAR(97)</f>
        <v>a</v>
      </c>
    </row>
    <row r="4" spans="1:53">
      <c r="H4" t="str">
        <f>CHAR(64)</f>
        <v>@</v>
      </c>
    </row>
    <row r="6" spans="1:5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v>51</v>
      </c>
      <c r="AZ6">
        <v>52</v>
      </c>
      <c r="BA6">
        <v>53</v>
      </c>
    </row>
    <row r="7" spans="1:53">
      <c r="D7" t="s">
        <v>77</v>
      </c>
    </row>
    <row r="8" spans="1:53">
      <c r="A8" t="s">
        <v>80</v>
      </c>
      <c r="B8" t="s">
        <v>81</v>
      </c>
      <c r="C8" t="s">
        <v>82</v>
      </c>
      <c r="D8">
        <v>90</v>
      </c>
    </row>
    <row r="9" spans="1:53">
      <c r="A9" t="s">
        <v>70</v>
      </c>
      <c r="B9">
        <v>1</v>
      </c>
      <c r="C9" t="str">
        <f>numToChar(1)</f>
        <v>A</v>
      </c>
      <c r="D9">
        <v>91</v>
      </c>
      <c r="E9" t="str">
        <f>CHAR(91)</f>
        <v>[</v>
      </c>
    </row>
    <row r="10" spans="1:53">
      <c r="A10" t="s">
        <v>71</v>
      </c>
      <c r="B10">
        <v>26</v>
      </c>
      <c r="C10" t="str">
        <f>numToChar(B10)</f>
        <v>Z</v>
      </c>
      <c r="D10" t="s">
        <v>75</v>
      </c>
      <c r="E10">
        <v>51</v>
      </c>
      <c r="F10" t="s">
        <v>76</v>
      </c>
    </row>
    <row r="11" spans="1:53">
      <c r="A11" t="s">
        <v>72</v>
      </c>
      <c r="B11">
        <v>27</v>
      </c>
      <c r="C11" t="str">
        <f>numToChar(B11)</f>
        <v>AA</v>
      </c>
    </row>
    <row r="12" spans="1:53">
      <c r="A12" t="s">
        <v>73</v>
      </c>
      <c r="B12">
        <v>52</v>
      </c>
      <c r="C12" t="str">
        <f>numToChar(B12)</f>
        <v>AZ</v>
      </c>
    </row>
    <row r="13" spans="1:53">
      <c r="A13" t="s">
        <v>74</v>
      </c>
      <c r="B13">
        <v>53</v>
      </c>
      <c r="C13" t="str">
        <f>numToChar(B13)</f>
        <v>BA</v>
      </c>
    </row>
    <row r="14" spans="1:53">
      <c r="A14" t="s">
        <v>78</v>
      </c>
      <c r="B14">
        <v>78</v>
      </c>
      <c r="C14" t="str">
        <f>numToChar(B14)</f>
        <v>BZ</v>
      </c>
    </row>
    <row r="15" spans="1:53">
      <c r="A15" t="s">
        <v>79</v>
      </c>
      <c r="B15">
        <v>79</v>
      </c>
      <c r="C15" t="str">
        <f>numToChar(B15)</f>
        <v>CA</v>
      </c>
    </row>
    <row r="16" spans="1:53">
      <c r="A16" t="s">
        <v>83</v>
      </c>
      <c r="B16">
        <v>703</v>
      </c>
      <c r="C16" t="str">
        <f>numToChar(B16)</f>
        <v>AAA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7"/>
  <sheetViews>
    <sheetView workbookViewId="0">
      <selection activeCell="B29" sqref="B29"/>
    </sheetView>
  </sheetViews>
  <sheetFormatPr defaultRowHeight="17.399999999999999"/>
  <cols>
    <col min="1" max="1" width="17.69921875" style="1" customWidth="1"/>
    <col min="11" max="13" width="0" hidden="1" customWidth="1"/>
  </cols>
  <sheetData>
    <row r="1" spans="1:14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4">
      <c r="A2" s="4" t="s">
        <v>66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8" t="s">
        <v>38</v>
      </c>
      <c r="L2" s="8" t="s">
        <v>39</v>
      </c>
      <c r="M2" s="8" t="s">
        <v>64</v>
      </c>
    </row>
    <row r="3" spans="1:14">
      <c r="A3" s="2" t="s">
        <v>15</v>
      </c>
      <c r="B3" s="3" t="s">
        <v>22</v>
      </c>
      <c r="C3" s="3" t="s">
        <v>23</v>
      </c>
      <c r="D3" s="9" t="s">
        <v>24</v>
      </c>
      <c r="E3" s="3"/>
      <c r="F3" s="3" t="s">
        <v>26</v>
      </c>
      <c r="G3" s="3"/>
      <c r="H3" s="9"/>
      <c r="I3" s="3"/>
      <c r="J3" s="3"/>
      <c r="K3">
        <f>getTotTable(B3:J3)</f>
        <v>4</v>
      </c>
      <c r="L3">
        <f>getColSum(B3:J3)</f>
        <v>32</v>
      </c>
      <c r="M3" t="str">
        <f>hasTrig(B3:J3)</f>
        <v>trig</v>
      </c>
      <c r="N3" t="str">
        <f>maxText(B3:J3)</f>
        <v>CRUD</v>
      </c>
    </row>
    <row r="4" spans="1:14">
      <c r="A4" s="2" t="s">
        <v>44</v>
      </c>
      <c r="B4" s="3"/>
      <c r="C4" s="3"/>
      <c r="D4" s="9"/>
      <c r="E4" s="3"/>
      <c r="F4" s="3"/>
      <c r="G4" s="3"/>
      <c r="H4" s="9"/>
      <c r="I4" s="3"/>
      <c r="J4" s="3"/>
      <c r="N4" t="str">
        <f t="shared" ref="N4:N26" si="0">maxText(B4:J4)</f>
        <v/>
      </c>
    </row>
    <row r="5" spans="1:14">
      <c r="A5" s="2" t="s">
        <v>45</v>
      </c>
      <c r="B5" s="3"/>
      <c r="C5" s="3"/>
      <c r="D5" s="9"/>
      <c r="E5" s="3"/>
      <c r="F5" s="3"/>
      <c r="G5" s="3"/>
      <c r="H5" s="9"/>
      <c r="I5" s="3"/>
      <c r="J5" s="3"/>
      <c r="N5" t="str">
        <f t="shared" si="0"/>
        <v/>
      </c>
    </row>
    <row r="6" spans="1:14">
      <c r="A6" s="2" t="s">
        <v>46</v>
      </c>
      <c r="B6" s="3"/>
      <c r="C6" s="3"/>
      <c r="D6" s="9"/>
      <c r="E6" s="3"/>
      <c r="F6" s="3"/>
      <c r="G6" s="3"/>
      <c r="H6" s="9"/>
      <c r="I6" s="3"/>
      <c r="J6" s="3"/>
      <c r="N6" t="str">
        <f t="shared" si="0"/>
        <v/>
      </c>
    </row>
    <row r="7" spans="1:14">
      <c r="A7" s="2" t="s">
        <v>47</v>
      </c>
      <c r="B7" s="3"/>
      <c r="C7" s="3"/>
      <c r="D7" s="9"/>
      <c r="E7" s="3"/>
      <c r="F7" s="3"/>
      <c r="G7" s="3"/>
      <c r="H7" s="9"/>
      <c r="I7" s="3"/>
      <c r="J7" s="3"/>
      <c r="N7" t="str">
        <f t="shared" si="0"/>
        <v/>
      </c>
    </row>
    <row r="8" spans="1:14">
      <c r="A8" s="2" t="s">
        <v>16</v>
      </c>
      <c r="B8" s="3"/>
      <c r="C8" s="3"/>
      <c r="D8" s="9"/>
      <c r="E8" s="3"/>
      <c r="F8" s="3"/>
      <c r="G8" s="3"/>
      <c r="H8" s="9"/>
      <c r="I8" s="3" t="s">
        <v>35</v>
      </c>
      <c r="J8" s="3" t="s">
        <v>26</v>
      </c>
      <c r="K8">
        <f t="shared" ref="K8:K26" si="1">getTotTable(B8:J8)</f>
        <v>2</v>
      </c>
      <c r="L8">
        <f t="shared" ref="L8:L26" si="2">getColSum(B8:J8)</f>
        <v>18</v>
      </c>
      <c r="M8" t="str">
        <f t="shared" ref="M8:M26" si="3">hasTrig(B8:J8)</f>
        <v>noTrig</v>
      </c>
      <c r="N8" t="str">
        <f t="shared" si="0"/>
        <v>CRU</v>
      </c>
    </row>
    <row r="9" spans="1:14">
      <c r="A9" s="2" t="s">
        <v>48</v>
      </c>
      <c r="B9" s="3"/>
      <c r="C9" s="3"/>
      <c r="D9" s="9"/>
      <c r="E9" s="3"/>
      <c r="F9" s="3"/>
      <c r="G9" s="3"/>
      <c r="H9" s="9"/>
      <c r="I9" s="3"/>
      <c r="J9" s="3"/>
      <c r="N9" t="str">
        <f t="shared" si="0"/>
        <v/>
      </c>
    </row>
    <row r="10" spans="1:14">
      <c r="A10" s="2" t="s">
        <v>49</v>
      </c>
      <c r="B10" s="3"/>
      <c r="C10" s="3"/>
      <c r="D10" s="9"/>
      <c r="E10" s="3"/>
      <c r="F10" s="3"/>
      <c r="G10" s="3"/>
      <c r="H10" s="9"/>
      <c r="I10" s="3"/>
      <c r="J10" s="3"/>
      <c r="N10" t="str">
        <f t="shared" si="0"/>
        <v/>
      </c>
    </row>
    <row r="11" spans="1:14">
      <c r="A11" s="2" t="s">
        <v>50</v>
      </c>
      <c r="B11" s="3"/>
      <c r="C11" s="3"/>
      <c r="D11" s="9"/>
      <c r="E11" s="3"/>
      <c r="F11" s="3"/>
      <c r="G11" s="3"/>
      <c r="H11" s="9"/>
      <c r="I11" s="3"/>
      <c r="J11" s="3"/>
      <c r="N11" t="str">
        <f t="shared" si="0"/>
        <v/>
      </c>
    </row>
    <row r="12" spans="1:14">
      <c r="A12" s="2" t="s">
        <v>17</v>
      </c>
      <c r="B12" s="3" t="s">
        <v>26</v>
      </c>
      <c r="C12" s="3"/>
      <c r="D12" s="9"/>
      <c r="E12" s="3" t="s">
        <v>22</v>
      </c>
      <c r="F12" s="3" t="s">
        <v>26</v>
      </c>
      <c r="G12" s="3" t="s">
        <v>27</v>
      </c>
      <c r="H12" s="9"/>
      <c r="I12" s="3"/>
      <c r="J12" s="3" t="s">
        <v>31</v>
      </c>
      <c r="K12">
        <f t="shared" si="1"/>
        <v>5</v>
      </c>
      <c r="L12">
        <f t="shared" si="2"/>
        <v>37</v>
      </c>
      <c r="M12" t="str">
        <f t="shared" si="3"/>
        <v>noTrig</v>
      </c>
      <c r="N12" t="str">
        <f t="shared" si="0"/>
        <v>CRUD</v>
      </c>
    </row>
    <row r="13" spans="1:14">
      <c r="A13" s="2" t="s">
        <v>51</v>
      </c>
      <c r="B13" s="3"/>
      <c r="C13" s="3"/>
      <c r="D13" s="9"/>
      <c r="E13" s="3"/>
      <c r="F13" s="3"/>
      <c r="G13" s="3"/>
      <c r="H13" s="9"/>
      <c r="I13" s="3"/>
      <c r="J13" s="3"/>
      <c r="N13" t="str">
        <f t="shared" si="0"/>
        <v/>
      </c>
    </row>
    <row r="14" spans="1:14">
      <c r="A14" s="2" t="s">
        <v>52</v>
      </c>
      <c r="B14" s="3"/>
      <c r="C14" s="3"/>
      <c r="D14" s="9"/>
      <c r="E14" s="3"/>
      <c r="F14" s="3"/>
      <c r="G14" s="3"/>
      <c r="H14" s="9"/>
      <c r="I14" s="3"/>
      <c r="J14" s="3"/>
      <c r="N14" t="str">
        <f t="shared" si="0"/>
        <v/>
      </c>
    </row>
    <row r="15" spans="1:14">
      <c r="A15" s="2" t="s">
        <v>53</v>
      </c>
      <c r="B15" s="3"/>
      <c r="C15" s="3"/>
      <c r="D15" s="9"/>
      <c r="E15" s="3"/>
      <c r="F15" s="3"/>
      <c r="G15" s="3"/>
      <c r="H15" s="9"/>
      <c r="I15" s="3"/>
      <c r="J15" s="3"/>
      <c r="N15" t="str">
        <f t="shared" si="0"/>
        <v/>
      </c>
    </row>
    <row r="16" spans="1:14">
      <c r="A16" s="2" t="s">
        <v>54</v>
      </c>
      <c r="B16" s="3"/>
      <c r="C16" s="3"/>
      <c r="D16" s="9"/>
      <c r="E16" s="3"/>
      <c r="F16" s="3"/>
      <c r="G16" s="3"/>
      <c r="H16" s="9"/>
      <c r="I16" s="3"/>
      <c r="J16" s="3"/>
      <c r="N16" t="str">
        <f t="shared" si="0"/>
        <v/>
      </c>
    </row>
    <row r="17" spans="1:14">
      <c r="A17" s="2" t="s">
        <v>18</v>
      </c>
      <c r="B17" s="3"/>
      <c r="C17" s="3"/>
      <c r="D17" s="9"/>
      <c r="E17" s="3"/>
      <c r="F17" s="3"/>
      <c r="G17" s="3"/>
      <c r="H17" s="9" t="s">
        <v>22</v>
      </c>
      <c r="I17" s="3"/>
      <c r="J17" s="3"/>
      <c r="K17">
        <f t="shared" si="1"/>
        <v>1</v>
      </c>
      <c r="L17">
        <f t="shared" si="2"/>
        <v>2</v>
      </c>
      <c r="M17" t="str">
        <f t="shared" si="3"/>
        <v>trig</v>
      </c>
      <c r="N17" t="str">
        <f t="shared" si="0"/>
        <v>C</v>
      </c>
    </row>
    <row r="18" spans="1:14">
      <c r="A18" s="2" t="s">
        <v>55</v>
      </c>
      <c r="B18" s="3"/>
      <c r="C18" s="3"/>
      <c r="D18" s="9"/>
      <c r="E18" s="3"/>
      <c r="F18" s="3"/>
      <c r="G18" s="3"/>
      <c r="H18" s="9"/>
      <c r="I18" s="3"/>
      <c r="J18" s="3"/>
      <c r="N18" t="str">
        <f t="shared" si="0"/>
        <v/>
      </c>
    </row>
    <row r="19" spans="1:14" ht="16.8" customHeight="1">
      <c r="A19" s="2" t="s">
        <v>19</v>
      </c>
      <c r="B19" s="3"/>
      <c r="C19" s="3" t="s">
        <v>22</v>
      </c>
      <c r="D19" s="9" t="s">
        <v>26</v>
      </c>
      <c r="E19" s="3"/>
      <c r="F19" s="3" t="s">
        <v>26</v>
      </c>
      <c r="G19" s="3"/>
      <c r="H19" s="9" t="s">
        <v>28</v>
      </c>
      <c r="I19" s="3"/>
      <c r="J19" s="3" t="s">
        <v>27</v>
      </c>
      <c r="K19">
        <f t="shared" si="1"/>
        <v>5</v>
      </c>
      <c r="L19">
        <f t="shared" si="2"/>
        <v>40</v>
      </c>
      <c r="M19" t="str">
        <f t="shared" si="3"/>
        <v>trig</v>
      </c>
      <c r="N19" t="str">
        <f t="shared" si="0"/>
        <v>CRUD</v>
      </c>
    </row>
    <row r="20" spans="1:14" ht="16.8" customHeight="1">
      <c r="A20" s="2" t="s">
        <v>56</v>
      </c>
      <c r="B20" s="3"/>
      <c r="C20" s="3"/>
      <c r="D20" s="9"/>
      <c r="E20" s="3"/>
      <c r="F20" s="3"/>
      <c r="G20" s="3"/>
      <c r="H20" s="9"/>
      <c r="I20" s="3"/>
      <c r="J20" s="3"/>
      <c r="N20" t="str">
        <f t="shared" si="0"/>
        <v/>
      </c>
    </row>
    <row r="21" spans="1:14" ht="16.8" customHeight="1">
      <c r="A21" s="2" t="s">
        <v>57</v>
      </c>
      <c r="B21" s="3"/>
      <c r="C21" s="3"/>
      <c r="D21" s="9"/>
      <c r="E21" s="3"/>
      <c r="F21" s="3"/>
      <c r="G21" s="3"/>
      <c r="H21" s="9"/>
      <c r="I21" s="3"/>
      <c r="J21" s="3"/>
      <c r="N21" t="str">
        <f t="shared" si="0"/>
        <v/>
      </c>
    </row>
    <row r="22" spans="1:14" ht="16.8" customHeight="1">
      <c r="A22" s="2" t="s">
        <v>58</v>
      </c>
      <c r="B22" s="3"/>
      <c r="C22" s="3"/>
      <c r="D22" s="9"/>
      <c r="E22" s="3"/>
      <c r="F22" s="3"/>
      <c r="G22" s="3"/>
      <c r="H22" s="9"/>
      <c r="I22" s="3"/>
      <c r="J22" s="3"/>
      <c r="N22" t="str">
        <f t="shared" si="0"/>
        <v/>
      </c>
    </row>
    <row r="23" spans="1:14">
      <c r="A23" s="2" t="s">
        <v>20</v>
      </c>
      <c r="B23" s="3" t="s">
        <v>26</v>
      </c>
      <c r="C23" s="3" t="s">
        <v>29</v>
      </c>
      <c r="D23" s="9"/>
      <c r="E23" s="3"/>
      <c r="F23" s="3"/>
      <c r="G23" s="3"/>
      <c r="H23" s="9" t="s">
        <v>29</v>
      </c>
      <c r="I23" s="3"/>
      <c r="J23" s="3"/>
      <c r="K23">
        <f t="shared" si="1"/>
        <v>3</v>
      </c>
      <c r="L23">
        <f t="shared" si="2"/>
        <v>14</v>
      </c>
      <c r="M23" t="str">
        <f t="shared" si="3"/>
        <v>trig</v>
      </c>
      <c r="N23" t="str">
        <f t="shared" si="0"/>
        <v>RD</v>
      </c>
    </row>
    <row r="24" spans="1:14">
      <c r="A24" s="2" t="s">
        <v>60</v>
      </c>
      <c r="B24" s="3"/>
      <c r="C24" s="3"/>
      <c r="D24" s="9"/>
      <c r="E24" s="3"/>
      <c r="F24" s="3"/>
      <c r="G24" s="3"/>
      <c r="H24" s="9"/>
      <c r="I24" s="3"/>
      <c r="J24" s="3"/>
      <c r="N24" t="str">
        <f t="shared" si="0"/>
        <v/>
      </c>
    </row>
    <row r="25" spans="1:14">
      <c r="A25" s="2" t="s">
        <v>61</v>
      </c>
      <c r="B25" s="3"/>
      <c r="C25" s="3"/>
      <c r="D25" s="9"/>
      <c r="E25" s="3"/>
      <c r="F25" s="3"/>
      <c r="G25" s="3"/>
      <c r="H25" s="9"/>
      <c r="I25" s="3"/>
      <c r="J25" s="3"/>
      <c r="N25" t="str">
        <f t="shared" si="0"/>
        <v/>
      </c>
    </row>
    <row r="26" spans="1:14">
      <c r="A26" s="2" t="s">
        <v>21</v>
      </c>
      <c r="B26" s="3"/>
      <c r="C26" s="3"/>
      <c r="D26" s="9" t="s">
        <v>26</v>
      </c>
      <c r="E26" s="3"/>
      <c r="F26" s="3" t="s">
        <v>26</v>
      </c>
      <c r="G26" s="3"/>
      <c r="H26" s="9"/>
      <c r="I26" s="3" t="s">
        <v>34</v>
      </c>
      <c r="J26" s="3"/>
      <c r="K26">
        <f t="shared" si="1"/>
        <v>3</v>
      </c>
      <c r="L26">
        <f t="shared" si="2"/>
        <v>29</v>
      </c>
      <c r="M26" t="str">
        <f t="shared" si="3"/>
        <v>trig</v>
      </c>
      <c r="N26" t="str">
        <f t="shared" si="0"/>
        <v>RD</v>
      </c>
    </row>
    <row r="27" spans="1:14">
      <c r="A27" s="6" t="s">
        <v>62</v>
      </c>
      <c r="B27" s="7"/>
      <c r="C27" s="7"/>
      <c r="D27" s="10"/>
      <c r="E27" s="7"/>
      <c r="F27" s="7"/>
      <c r="G27" s="7"/>
      <c r="H27" s="10"/>
      <c r="I27" s="7"/>
      <c r="J27" s="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Sheet2 (5)</vt:lpstr>
      <vt:lpstr>Sheet2 (3)</vt:lpstr>
      <vt:lpstr>Sheet2 (6)</vt:lpstr>
      <vt:lpstr>Sheet2 (4)</vt:lpstr>
      <vt:lpstr>Sheet2 (2)</vt:lpstr>
      <vt:lpstr>Sheet3</vt:lpstr>
      <vt:lpstr>Sheet7</vt:lpstr>
      <vt:lpstr>Sheet2 (7)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조성우</cp:lastModifiedBy>
  <dcterms:created xsi:type="dcterms:W3CDTF">2015-06-05T18:19:34Z</dcterms:created>
  <dcterms:modified xsi:type="dcterms:W3CDTF">2020-08-23T15:48:36Z</dcterms:modified>
</cp:coreProperties>
</file>